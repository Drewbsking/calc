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tes\Desktop\"/>
    </mc:Choice>
  </mc:AlternateContent>
  <xr:revisionPtr revIDLastSave="0" documentId="10_ncr:100000_{2D7613AB-18FA-46B8-A396-DF600B3B3AF4}" xr6:coauthVersionLast="31" xr6:coauthVersionMax="31" xr10:uidLastSave="{00000000-0000-0000-0000-000000000000}"/>
  <bookViews>
    <workbookView minimized="1" xWindow="0" yWindow="0" windowWidth="21570" windowHeight="7680" xr2:uid="{096E83F8-5B06-4D85-8E96-9D17BFC692AA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0" i="1" l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54" i="1"/>
  <c r="M29" i="1"/>
  <c r="M28" i="1"/>
  <c r="M27" i="1"/>
  <c r="C5" i="1"/>
  <c r="I9" i="1"/>
  <c r="I10" i="1"/>
  <c r="I11" i="1"/>
  <c r="I12" i="1"/>
  <c r="I13" i="1"/>
  <c r="I6" i="1"/>
  <c r="C3" i="1"/>
  <c r="C2" i="1"/>
  <c r="E2" i="1" s="1"/>
  <c r="E3" i="1" s="1"/>
  <c r="D3" i="1" s="1"/>
  <c r="H7" i="1"/>
  <c r="I7" i="1" s="1"/>
  <c r="H8" i="1"/>
  <c r="I8" i="1" s="1"/>
  <c r="H9" i="1"/>
  <c r="H10" i="1"/>
  <c r="H11" i="1"/>
  <c r="H12" i="1"/>
  <c r="H13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Bates, Andrew</author>
  </authors>
  <commentList>
    <comment ref="D3" authorId="0" shapeId="0" xr:uid="{36034082-57E8-4726-A2A6-2D39B595A5FA}">
      <text>
        <r>
          <rPr>
            <b/>
            <sz val="9"/>
            <color indexed="81"/>
            <rFont val="Tahoma"/>
            <charset val="1"/>
          </rPr>
          <t>Bates, Andrew:</t>
        </r>
        <r>
          <rPr>
            <sz val="9"/>
            <color indexed="81"/>
            <rFont val="Tahoma"/>
            <charset val="1"/>
          </rPr>
          <t xml:space="preserve">
Rounded to nearest whole number
</t>
        </r>
      </text>
    </comment>
    <comment ref="I6" authorId="0" shapeId="0" xr:uid="{E493A026-F0A5-4E64-996C-DF879E151409}">
      <text>
        <r>
          <rPr>
            <b/>
            <sz val="9"/>
            <color indexed="81"/>
            <rFont val="Tahoma"/>
            <charset val="1"/>
          </rPr>
          <t>Bates, Andrew:</t>
        </r>
        <r>
          <rPr>
            <sz val="9"/>
            <color indexed="81"/>
            <rFont val="Tahoma"/>
            <charset val="1"/>
          </rPr>
          <t xml:space="preserve">
Rounded to nearest 10
</t>
        </r>
      </text>
    </comment>
  </commentList>
</comments>
</file>

<file path=xl/sharedStrings.xml><?xml version="1.0" encoding="utf-8"?>
<sst xmlns="http://schemas.openxmlformats.org/spreadsheetml/2006/main" count="44" uniqueCount="30">
  <si>
    <t>Speed Limit</t>
  </si>
  <si>
    <t>Advsiory Speed</t>
  </si>
  <si>
    <t>MPH</t>
  </si>
  <si>
    <t>Ft/s</t>
  </si>
  <si>
    <t>Seconds between markings</t>
  </si>
  <si>
    <t>5 Second Tangent</t>
  </si>
  <si>
    <t>Spaceing of RPM</t>
  </si>
  <si>
    <t>Difference</t>
  </si>
  <si>
    <t>100/50</t>
  </si>
  <si>
    <t>50/25</t>
  </si>
  <si>
    <t>Speed difference</t>
  </si>
  <si>
    <t>N/A</t>
  </si>
  <si>
    <t>*Three RMPS must be before PC and after the PT.</t>
  </si>
  <si>
    <t>Existing RCOC unwritten</t>
  </si>
  <si>
    <t>Andy proposed Spacing (Tanget/Curve)</t>
  </si>
  <si>
    <t>SPACING Based on constant time between each RMP</t>
  </si>
  <si>
    <t>MDOTS based on Degree of Curve.</t>
  </si>
  <si>
    <t>0-3</t>
  </si>
  <si>
    <t>3-15</t>
  </si>
  <si>
    <t>15+</t>
  </si>
  <si>
    <t>N=</t>
  </si>
  <si>
    <t>2N</t>
  </si>
  <si>
    <t>N</t>
  </si>
  <si>
    <t>N/2</t>
  </si>
  <si>
    <t>Degree of Curvatuire</t>
  </si>
  <si>
    <t>Radius</t>
  </si>
  <si>
    <t>https://www.fhwa.dot.gov/publications/research/safety/97152/ch02.cfm</t>
  </si>
  <si>
    <t>1900  - 380</t>
  </si>
  <si>
    <t>380-0</t>
  </si>
  <si>
    <t>1900+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</si>
</sst>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35</xdr:row>
      <xdr:rowOff>123825</xdr:rowOff>
    </xdr:from>
    <xdr:to>
      <xdr:col>23</xdr:col>
      <xdr:colOff>135683</xdr:colOff>
      <xdr:row>45</xdr:row>
      <xdr:rowOff>105038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5C1C5-213F-4E27-BCDA-281581235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525" y="6791325"/>
          <a:ext cx="16718708" cy="1886213"/>
        </a:xfrm>
        <a:prstGeom prst="rect">
          <a:avLst/>
        </a:prstGeom>
      </xdr:spPr>
    </xdr:pic>
    <xdr:clientData/>
  </xdr:twoCellAnchor>
  <xdr:twoCellAnchor>
    <xdr:from>
      <xdr:col>6</xdr:col>
      <xdr:colOff>552450</xdr:colOff>
      <xdr:row>29</xdr:row>
      <xdr:rowOff>28575</xdr:rowOff>
    </xdr:from>
    <xdr:to>
      <xdr:col>9</xdr:col>
      <xdr:colOff>466725</xdr:colOff>
      <xdr:row>35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D7E1A1E-ED0E-45B5-97E3-761C380B2D99}"/>
            </a:ext>
          </a:extLst>
        </xdr:cNvPr>
        <xdr:cNvCxnSpPr/>
      </xdr:nvCxnSpPr>
      <xdr:spPr>
        <a:xfrm flipV="1">
          <a:off x="8382000" y="5553075"/>
          <a:ext cx="1743075" cy="1228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D568-1743-4900-98BD-855CDF8F9E1B}">
  <dimension ref="A1:S270"/>
  <sheetViews>
    <sheetView tabSelected="1" topLeftCell="B13" workbookViewId="0">
      <selection activeCell="U16" sqref="U16"/>
    </sheetView>
  </sheetViews>
  <sheetFormatPr defaultRowHeight="15" x14ac:dyDescent="0.25"/>
  <cols>
    <col min="1" max="1" width="48.5703125" bestFit="1" customWidth="1"/>
    <col min="2" max="2" width="5.140625" bestFit="1" customWidth="1"/>
    <col min="3" max="3" width="9" bestFit="1" customWidth="1"/>
    <col min="4" max="4" width="19.85546875" bestFit="1" customWidth="1"/>
    <col min="5" max="5" width="25.7109375" bestFit="1" customWidth="1"/>
    <col min="17" max="17" width="16.42578125" bestFit="1" customWidth="1"/>
    <col min="18" max="18" width="16.42578125" customWidth="1"/>
    <col min="19" max="19" width="22" bestFit="1" customWidth="1"/>
  </cols>
  <sheetData>
    <row r="1" spans="1:9" x14ac:dyDescent="0.25">
      <c r="A1" t="s">
        <v>15</v>
      </c>
      <c r="B1" t="s">
        <v>2</v>
      </c>
      <c r="C1" t="s">
        <v>3</v>
      </c>
      <c r="D1" t="s">
        <v>6</v>
      </c>
      <c r="E1" t="s">
        <v>4</v>
      </c>
    </row>
    <row r="2" spans="1:9" x14ac:dyDescent="0.25">
      <c r="A2" t="s">
        <v>0</v>
      </c>
      <c r="B2">
        <v>45</v>
      </c>
      <c r="C2">
        <f t="shared" ref="C2:C3" si="0">B2*1.46667</f>
        <v>66.000149999999991</v>
      </c>
      <c r="D2">
        <v>50</v>
      </c>
      <c r="E2" s="1">
        <f>D2/C2</f>
        <v>0.75757403581658533</v>
      </c>
    </row>
    <row r="3" spans="1:9" x14ac:dyDescent="0.25">
      <c r="A3" t="s">
        <v>1</v>
      </c>
      <c r="B3">
        <v>15</v>
      </c>
      <c r="C3">
        <f t="shared" si="0"/>
        <v>22.000049999999998</v>
      </c>
      <c r="D3">
        <f>MROUND(E3*C3,1)</f>
        <v>17</v>
      </c>
      <c r="E3" s="1">
        <f>E2</f>
        <v>0.75757403581658533</v>
      </c>
    </row>
    <row r="5" spans="1:9" x14ac:dyDescent="0.25">
      <c r="B5" t="s">
        <v>7</v>
      </c>
      <c r="C5">
        <f>B2-B3</f>
        <v>30</v>
      </c>
      <c r="G5" t="s">
        <v>2</v>
      </c>
      <c r="H5" t="s">
        <v>3</v>
      </c>
      <c r="I5" t="s">
        <v>5</v>
      </c>
    </row>
    <row r="6" spans="1:9" x14ac:dyDescent="0.25">
      <c r="G6">
        <v>25</v>
      </c>
      <c r="H6">
        <f>G6*1.46667</f>
        <v>36.66675</v>
      </c>
      <c r="I6">
        <f>MROUND(H6*5,10)</f>
        <v>180</v>
      </c>
    </row>
    <row r="7" spans="1:9" x14ac:dyDescent="0.25">
      <c r="G7">
        <v>30</v>
      </c>
      <c r="H7">
        <f t="shared" ref="H7:H13" si="1">G7*1.46667</f>
        <v>44.000099999999996</v>
      </c>
      <c r="I7">
        <f t="shared" ref="I7:I13" si="2">MROUND(H7*5,10)</f>
        <v>220</v>
      </c>
    </row>
    <row r="8" spans="1:9" x14ac:dyDescent="0.25">
      <c r="G8">
        <v>35</v>
      </c>
      <c r="H8">
        <f t="shared" si="1"/>
        <v>51.333449999999999</v>
      </c>
      <c r="I8">
        <f t="shared" si="2"/>
        <v>260</v>
      </c>
    </row>
    <row r="9" spans="1:9" x14ac:dyDescent="0.25">
      <c r="G9">
        <v>40</v>
      </c>
      <c r="H9">
        <f t="shared" si="1"/>
        <v>58.666799999999995</v>
      </c>
      <c r="I9">
        <f t="shared" si="2"/>
        <v>290</v>
      </c>
    </row>
    <row r="10" spans="1:9" x14ac:dyDescent="0.25">
      <c r="G10">
        <v>45</v>
      </c>
      <c r="H10">
        <f t="shared" si="1"/>
        <v>66.000149999999991</v>
      </c>
      <c r="I10">
        <f t="shared" si="2"/>
        <v>330</v>
      </c>
    </row>
    <row r="11" spans="1:9" x14ac:dyDescent="0.25">
      <c r="G11">
        <v>50</v>
      </c>
      <c r="H11">
        <f t="shared" si="1"/>
        <v>73.333500000000001</v>
      </c>
      <c r="I11">
        <f t="shared" si="2"/>
        <v>370</v>
      </c>
    </row>
    <row r="12" spans="1:9" x14ac:dyDescent="0.25">
      <c r="G12">
        <v>55</v>
      </c>
      <c r="H12">
        <f t="shared" si="1"/>
        <v>80.666849999999997</v>
      </c>
      <c r="I12">
        <f t="shared" si="2"/>
        <v>400</v>
      </c>
    </row>
    <row r="13" spans="1:9" x14ac:dyDescent="0.25">
      <c r="G13">
        <v>60</v>
      </c>
      <c r="H13">
        <f t="shared" si="1"/>
        <v>88.000199999999992</v>
      </c>
      <c r="I13">
        <f t="shared" si="2"/>
        <v>440</v>
      </c>
    </row>
    <row r="25" spans="10:19" x14ac:dyDescent="0.25">
      <c r="K25" t="s">
        <v>20</v>
      </c>
      <c r="L25">
        <v>50</v>
      </c>
    </row>
    <row r="26" spans="10:19" x14ac:dyDescent="0.25">
      <c r="J26" t="s">
        <v>25</v>
      </c>
      <c r="K26" t="s">
        <v>24</v>
      </c>
      <c r="Q26" s="3" t="s">
        <v>10</v>
      </c>
      <c r="R26" s="3" t="s">
        <v>13</v>
      </c>
      <c r="S26" s="3" t="s">
        <v>14</v>
      </c>
    </row>
    <row r="27" spans="10:19" x14ac:dyDescent="0.25">
      <c r="J27" t="s">
        <v>29</v>
      </c>
      <c r="K27" s="6" t="s">
        <v>17</v>
      </c>
      <c r="L27" s="2" t="s">
        <v>21</v>
      </c>
      <c r="M27" s="2">
        <f>2*L25</f>
        <v>100</v>
      </c>
      <c r="Q27" s="4">
        <v>0</v>
      </c>
      <c r="R27" s="4" t="s">
        <v>8</v>
      </c>
      <c r="S27" s="4" t="s">
        <v>11</v>
      </c>
    </row>
    <row r="28" spans="10:19" x14ac:dyDescent="0.25">
      <c r="J28" t="s">
        <v>27</v>
      </c>
      <c r="K28" s="6" t="s">
        <v>18</v>
      </c>
      <c r="L28" s="2" t="s">
        <v>22</v>
      </c>
      <c r="M28" s="2">
        <f>L25</f>
        <v>50</v>
      </c>
      <c r="Q28" s="4">
        <v>5</v>
      </c>
      <c r="R28" s="4" t="s">
        <v>9</v>
      </c>
      <c r="S28" s="4" t="s">
        <v>8</v>
      </c>
    </row>
    <row r="29" spans="10:19" x14ac:dyDescent="0.25">
      <c r="J29" t="s">
        <v>28</v>
      </c>
      <c r="K29" s="6" t="s">
        <v>19</v>
      </c>
      <c r="L29" s="2" t="s">
        <v>23</v>
      </c>
      <c r="M29" s="2">
        <f>L25/2</f>
        <v>25</v>
      </c>
      <c r="Q29" s="4">
        <v>10</v>
      </c>
      <c r="R29" s="4" t="s">
        <v>9</v>
      </c>
      <c r="S29" s="4" t="s">
        <v>8</v>
      </c>
    </row>
    <row r="30" spans="10:19" x14ac:dyDescent="0.25">
      <c r="Q30" s="4">
        <v>15</v>
      </c>
      <c r="R30" s="4" t="s">
        <v>9</v>
      </c>
      <c r="S30" s="4" t="s">
        <v>8</v>
      </c>
    </row>
    <row r="31" spans="10:19" x14ac:dyDescent="0.25">
      <c r="Q31" s="4">
        <v>20</v>
      </c>
      <c r="R31" s="4" t="s">
        <v>9</v>
      </c>
      <c r="S31" s="4" t="s">
        <v>9</v>
      </c>
    </row>
    <row r="32" spans="10:19" x14ac:dyDescent="0.25">
      <c r="Q32" s="4">
        <v>25</v>
      </c>
      <c r="R32" s="4" t="s">
        <v>9</v>
      </c>
      <c r="S32" s="4" t="s">
        <v>9</v>
      </c>
    </row>
    <row r="33" spans="17:19" x14ac:dyDescent="0.25">
      <c r="Q33" s="4">
        <v>30</v>
      </c>
      <c r="R33" s="4" t="s">
        <v>9</v>
      </c>
      <c r="S33" s="4" t="s">
        <v>9</v>
      </c>
    </row>
    <row r="34" spans="17:19" ht="15" customHeight="1" x14ac:dyDescent="0.25">
      <c r="Q34" s="5" t="s">
        <v>12</v>
      </c>
      <c r="R34" s="5"/>
      <c r="S34" s="5"/>
    </row>
    <row r="35" spans="17:19" x14ac:dyDescent="0.25">
      <c r="Q35" s="5"/>
      <c r="R35" s="5"/>
      <c r="S35" s="5"/>
    </row>
    <row r="36" spans="17:19" x14ac:dyDescent="0.25">
      <c r="Q36" t="s">
        <v>16</v>
      </c>
    </row>
    <row r="49" spans="8:10" x14ac:dyDescent="0.25">
      <c r="J49" t="s">
        <v>26</v>
      </c>
    </row>
    <row r="53" spans="8:10" x14ac:dyDescent="0.25">
      <c r="H53" t="s">
        <v>25</v>
      </c>
    </row>
    <row r="54" spans="8:10" x14ac:dyDescent="0.25">
      <c r="H54">
        <v>100</v>
      </c>
      <c r="I54">
        <f>5729.58/H54</f>
        <v>57.2958</v>
      </c>
    </row>
    <row r="55" spans="8:10" x14ac:dyDescent="0.25">
      <c r="H55">
        <v>110</v>
      </c>
      <c r="I55">
        <f t="shared" ref="I55:I118" si="3">5729.58/H55</f>
        <v>52.087090909090911</v>
      </c>
    </row>
    <row r="56" spans="8:10" x14ac:dyDescent="0.25">
      <c r="H56">
        <v>120</v>
      </c>
      <c r="I56">
        <f t="shared" si="3"/>
        <v>47.746499999999997</v>
      </c>
    </row>
    <row r="57" spans="8:10" x14ac:dyDescent="0.25">
      <c r="H57">
        <v>130</v>
      </c>
      <c r="I57">
        <f t="shared" si="3"/>
        <v>44.073692307692305</v>
      </c>
    </row>
    <row r="58" spans="8:10" x14ac:dyDescent="0.25">
      <c r="H58">
        <v>140</v>
      </c>
      <c r="I58">
        <f t="shared" si="3"/>
        <v>40.92557142857143</v>
      </c>
    </row>
    <row r="59" spans="8:10" x14ac:dyDescent="0.25">
      <c r="H59">
        <v>150</v>
      </c>
      <c r="I59">
        <f t="shared" si="3"/>
        <v>38.197200000000002</v>
      </c>
    </row>
    <row r="60" spans="8:10" x14ac:dyDescent="0.25">
      <c r="H60">
        <v>160</v>
      </c>
      <c r="I60">
        <f t="shared" si="3"/>
        <v>35.809874999999998</v>
      </c>
    </row>
    <row r="61" spans="8:10" x14ac:dyDescent="0.25">
      <c r="H61">
        <v>170</v>
      </c>
      <c r="I61">
        <f t="shared" si="3"/>
        <v>33.703411764705884</v>
      </c>
    </row>
    <row r="62" spans="8:10" x14ac:dyDescent="0.25">
      <c r="H62">
        <v>180</v>
      </c>
      <c r="I62">
        <f t="shared" si="3"/>
        <v>31.831</v>
      </c>
    </row>
    <row r="63" spans="8:10" x14ac:dyDescent="0.25">
      <c r="H63">
        <v>190</v>
      </c>
      <c r="I63">
        <f t="shared" si="3"/>
        <v>30.155684210526314</v>
      </c>
    </row>
    <row r="64" spans="8:10" x14ac:dyDescent="0.25">
      <c r="H64">
        <v>200</v>
      </c>
      <c r="I64">
        <f t="shared" si="3"/>
        <v>28.6479</v>
      </c>
    </row>
    <row r="65" spans="8:9" x14ac:dyDescent="0.25">
      <c r="H65">
        <v>210</v>
      </c>
      <c r="I65">
        <f t="shared" si="3"/>
        <v>27.283714285714286</v>
      </c>
    </row>
    <row r="66" spans="8:9" x14ac:dyDescent="0.25">
      <c r="H66">
        <v>220</v>
      </c>
      <c r="I66">
        <f t="shared" si="3"/>
        <v>26.043545454545455</v>
      </c>
    </row>
    <row r="67" spans="8:9" x14ac:dyDescent="0.25">
      <c r="H67">
        <v>230</v>
      </c>
      <c r="I67">
        <f t="shared" si="3"/>
        <v>24.911217391304348</v>
      </c>
    </row>
    <row r="68" spans="8:9" x14ac:dyDescent="0.25">
      <c r="H68">
        <v>240</v>
      </c>
      <c r="I68">
        <f t="shared" si="3"/>
        <v>23.873249999999999</v>
      </c>
    </row>
    <row r="69" spans="8:9" x14ac:dyDescent="0.25">
      <c r="H69">
        <v>250</v>
      </c>
      <c r="I69">
        <f t="shared" si="3"/>
        <v>22.918320000000001</v>
      </c>
    </row>
    <row r="70" spans="8:9" x14ac:dyDescent="0.25">
      <c r="H70">
        <v>260</v>
      </c>
      <c r="I70">
        <f t="shared" si="3"/>
        <v>22.036846153846152</v>
      </c>
    </row>
    <row r="71" spans="8:9" x14ac:dyDescent="0.25">
      <c r="H71">
        <v>270</v>
      </c>
      <c r="I71">
        <f t="shared" si="3"/>
        <v>21.220666666666666</v>
      </c>
    </row>
    <row r="72" spans="8:9" x14ac:dyDescent="0.25">
      <c r="H72">
        <v>280</v>
      </c>
      <c r="I72">
        <f t="shared" si="3"/>
        <v>20.462785714285715</v>
      </c>
    </row>
    <row r="73" spans="8:9" x14ac:dyDescent="0.25">
      <c r="H73">
        <v>290</v>
      </c>
      <c r="I73">
        <f t="shared" si="3"/>
        <v>19.757172413793104</v>
      </c>
    </row>
    <row r="74" spans="8:9" x14ac:dyDescent="0.25">
      <c r="H74">
        <v>300</v>
      </c>
      <c r="I74">
        <f t="shared" si="3"/>
        <v>19.098600000000001</v>
      </c>
    </row>
    <row r="75" spans="8:9" x14ac:dyDescent="0.25">
      <c r="H75">
        <v>310</v>
      </c>
      <c r="I75">
        <f t="shared" si="3"/>
        <v>18.482516129032259</v>
      </c>
    </row>
    <row r="76" spans="8:9" x14ac:dyDescent="0.25">
      <c r="H76">
        <v>320</v>
      </c>
      <c r="I76">
        <f t="shared" si="3"/>
        <v>17.904937499999999</v>
      </c>
    </row>
    <row r="77" spans="8:9" x14ac:dyDescent="0.25">
      <c r="H77">
        <v>330</v>
      </c>
      <c r="I77">
        <f t="shared" si="3"/>
        <v>17.362363636363636</v>
      </c>
    </row>
    <row r="78" spans="8:9" x14ac:dyDescent="0.25">
      <c r="H78">
        <v>340</v>
      </c>
      <c r="I78">
        <f t="shared" si="3"/>
        <v>16.851705882352942</v>
      </c>
    </row>
    <row r="79" spans="8:9" x14ac:dyDescent="0.25">
      <c r="H79">
        <v>350</v>
      </c>
      <c r="I79">
        <f t="shared" si="3"/>
        <v>16.370228571428573</v>
      </c>
    </row>
    <row r="80" spans="8:9" x14ac:dyDescent="0.25">
      <c r="H80">
        <v>360</v>
      </c>
      <c r="I80">
        <f t="shared" si="3"/>
        <v>15.9155</v>
      </c>
    </row>
    <row r="81" spans="8:9" x14ac:dyDescent="0.25">
      <c r="H81">
        <v>370</v>
      </c>
      <c r="I81">
        <f t="shared" si="3"/>
        <v>15.485351351351351</v>
      </c>
    </row>
    <row r="82" spans="8:9" x14ac:dyDescent="0.25">
      <c r="H82" s="2">
        <v>380</v>
      </c>
      <c r="I82" s="2">
        <f t="shared" si="3"/>
        <v>15.077842105263157</v>
      </c>
    </row>
    <row r="83" spans="8:9" x14ac:dyDescent="0.25">
      <c r="H83">
        <v>390</v>
      </c>
      <c r="I83">
        <f t="shared" si="3"/>
        <v>14.691230769230769</v>
      </c>
    </row>
    <row r="84" spans="8:9" x14ac:dyDescent="0.25">
      <c r="H84">
        <v>400</v>
      </c>
      <c r="I84">
        <f t="shared" si="3"/>
        <v>14.32395</v>
      </c>
    </row>
    <row r="85" spans="8:9" x14ac:dyDescent="0.25">
      <c r="H85">
        <v>410</v>
      </c>
      <c r="I85">
        <f t="shared" si="3"/>
        <v>13.974585365853658</v>
      </c>
    </row>
    <row r="86" spans="8:9" x14ac:dyDescent="0.25">
      <c r="H86">
        <v>420</v>
      </c>
      <c r="I86">
        <f t="shared" si="3"/>
        <v>13.641857142857143</v>
      </c>
    </row>
    <row r="87" spans="8:9" x14ac:dyDescent="0.25">
      <c r="H87">
        <v>430</v>
      </c>
      <c r="I87">
        <f t="shared" si="3"/>
        <v>13.32460465116279</v>
      </c>
    </row>
    <row r="88" spans="8:9" x14ac:dyDescent="0.25">
      <c r="H88">
        <v>440</v>
      </c>
      <c r="I88">
        <f t="shared" si="3"/>
        <v>13.021772727272728</v>
      </c>
    </row>
    <row r="89" spans="8:9" x14ac:dyDescent="0.25">
      <c r="H89">
        <v>450</v>
      </c>
      <c r="I89">
        <f t="shared" si="3"/>
        <v>12.7324</v>
      </c>
    </row>
    <row r="90" spans="8:9" x14ac:dyDescent="0.25">
      <c r="H90">
        <v>460</v>
      </c>
      <c r="I90">
        <f t="shared" si="3"/>
        <v>12.455608695652174</v>
      </c>
    </row>
    <row r="91" spans="8:9" x14ac:dyDescent="0.25">
      <c r="H91">
        <v>470</v>
      </c>
      <c r="I91">
        <f t="shared" si="3"/>
        <v>12.19059574468085</v>
      </c>
    </row>
    <row r="92" spans="8:9" x14ac:dyDescent="0.25">
      <c r="H92">
        <v>480</v>
      </c>
      <c r="I92">
        <f t="shared" si="3"/>
        <v>11.936624999999999</v>
      </c>
    </row>
    <row r="93" spans="8:9" x14ac:dyDescent="0.25">
      <c r="H93">
        <v>490</v>
      </c>
      <c r="I93">
        <f t="shared" si="3"/>
        <v>11.693020408163266</v>
      </c>
    </row>
    <row r="94" spans="8:9" x14ac:dyDescent="0.25">
      <c r="H94">
        <v>500</v>
      </c>
      <c r="I94">
        <f t="shared" si="3"/>
        <v>11.459160000000001</v>
      </c>
    </row>
    <row r="95" spans="8:9" x14ac:dyDescent="0.25">
      <c r="H95">
        <v>510</v>
      </c>
      <c r="I95">
        <f t="shared" si="3"/>
        <v>11.234470588235293</v>
      </c>
    </row>
    <row r="96" spans="8:9" x14ac:dyDescent="0.25">
      <c r="H96">
        <v>520</v>
      </c>
      <c r="I96">
        <f t="shared" si="3"/>
        <v>11.018423076923076</v>
      </c>
    </row>
    <row r="97" spans="8:9" x14ac:dyDescent="0.25">
      <c r="H97">
        <v>530</v>
      </c>
      <c r="I97">
        <f t="shared" si="3"/>
        <v>10.810528301886793</v>
      </c>
    </row>
    <row r="98" spans="8:9" x14ac:dyDescent="0.25">
      <c r="H98">
        <v>540</v>
      </c>
      <c r="I98">
        <f t="shared" si="3"/>
        <v>10.610333333333333</v>
      </c>
    </row>
    <row r="99" spans="8:9" x14ac:dyDescent="0.25">
      <c r="H99">
        <v>550</v>
      </c>
      <c r="I99">
        <f t="shared" si="3"/>
        <v>10.417418181818181</v>
      </c>
    </row>
    <row r="100" spans="8:9" x14ac:dyDescent="0.25">
      <c r="H100">
        <v>560</v>
      </c>
      <c r="I100">
        <f t="shared" si="3"/>
        <v>10.231392857142858</v>
      </c>
    </row>
    <row r="101" spans="8:9" x14ac:dyDescent="0.25">
      <c r="H101">
        <v>570</v>
      </c>
      <c r="I101">
        <f t="shared" si="3"/>
        <v>10.051894736842105</v>
      </c>
    </row>
    <row r="102" spans="8:9" x14ac:dyDescent="0.25">
      <c r="H102">
        <v>580</v>
      </c>
      <c r="I102">
        <f t="shared" si="3"/>
        <v>9.8785862068965518</v>
      </c>
    </row>
    <row r="103" spans="8:9" x14ac:dyDescent="0.25">
      <c r="H103">
        <v>590</v>
      </c>
      <c r="I103">
        <f t="shared" si="3"/>
        <v>9.7111525423728811</v>
      </c>
    </row>
    <row r="104" spans="8:9" x14ac:dyDescent="0.25">
      <c r="H104">
        <v>600</v>
      </c>
      <c r="I104">
        <f t="shared" si="3"/>
        <v>9.5493000000000006</v>
      </c>
    </row>
    <row r="105" spans="8:9" x14ac:dyDescent="0.25">
      <c r="H105">
        <v>610</v>
      </c>
      <c r="I105">
        <f t="shared" si="3"/>
        <v>9.3927540983606548</v>
      </c>
    </row>
    <row r="106" spans="8:9" x14ac:dyDescent="0.25">
      <c r="H106">
        <v>620</v>
      </c>
      <c r="I106">
        <f t="shared" si="3"/>
        <v>9.2412580645161295</v>
      </c>
    </row>
    <row r="107" spans="8:9" x14ac:dyDescent="0.25">
      <c r="H107">
        <v>630</v>
      </c>
      <c r="I107">
        <f t="shared" si="3"/>
        <v>9.0945714285714292</v>
      </c>
    </row>
    <row r="108" spans="8:9" x14ac:dyDescent="0.25">
      <c r="H108">
        <v>640</v>
      </c>
      <c r="I108">
        <f t="shared" si="3"/>
        <v>8.9524687499999995</v>
      </c>
    </row>
    <row r="109" spans="8:9" x14ac:dyDescent="0.25">
      <c r="H109">
        <v>650</v>
      </c>
      <c r="I109">
        <f t="shared" si="3"/>
        <v>8.814738461538461</v>
      </c>
    </row>
    <row r="110" spans="8:9" x14ac:dyDescent="0.25">
      <c r="H110">
        <v>660</v>
      </c>
      <c r="I110">
        <f t="shared" si="3"/>
        <v>8.6811818181818179</v>
      </c>
    </row>
    <row r="111" spans="8:9" x14ac:dyDescent="0.25">
      <c r="H111">
        <v>670</v>
      </c>
      <c r="I111">
        <f t="shared" si="3"/>
        <v>8.5516119402985069</v>
      </c>
    </row>
    <row r="112" spans="8:9" x14ac:dyDescent="0.25">
      <c r="H112">
        <v>680</v>
      </c>
      <c r="I112">
        <f t="shared" si="3"/>
        <v>8.4258529411764709</v>
      </c>
    </row>
    <row r="113" spans="8:9" x14ac:dyDescent="0.25">
      <c r="H113">
        <v>690</v>
      </c>
      <c r="I113">
        <f t="shared" si="3"/>
        <v>8.3037391304347832</v>
      </c>
    </row>
    <row r="114" spans="8:9" x14ac:dyDescent="0.25">
      <c r="H114">
        <v>700</v>
      </c>
      <c r="I114">
        <f t="shared" si="3"/>
        <v>8.1851142857142865</v>
      </c>
    </row>
    <row r="115" spans="8:9" x14ac:dyDescent="0.25">
      <c r="H115">
        <v>710</v>
      </c>
      <c r="I115">
        <f t="shared" si="3"/>
        <v>8.0698309859154929</v>
      </c>
    </row>
    <row r="116" spans="8:9" x14ac:dyDescent="0.25">
      <c r="H116">
        <v>720</v>
      </c>
      <c r="I116">
        <f t="shared" si="3"/>
        <v>7.9577499999999999</v>
      </c>
    </row>
    <row r="117" spans="8:9" x14ac:dyDescent="0.25">
      <c r="H117">
        <v>730</v>
      </c>
      <c r="I117">
        <f t="shared" si="3"/>
        <v>7.8487397260273974</v>
      </c>
    </row>
    <row r="118" spans="8:9" x14ac:dyDescent="0.25">
      <c r="H118">
        <v>740</v>
      </c>
      <c r="I118">
        <f t="shared" si="3"/>
        <v>7.7426756756756756</v>
      </c>
    </row>
    <row r="119" spans="8:9" x14ac:dyDescent="0.25">
      <c r="H119">
        <v>750</v>
      </c>
      <c r="I119">
        <f t="shared" ref="I119:I182" si="4">5729.58/H119</f>
        <v>7.6394399999999996</v>
      </c>
    </row>
    <row r="120" spans="8:9" x14ac:dyDescent="0.25">
      <c r="H120">
        <v>760</v>
      </c>
      <c r="I120">
        <f t="shared" si="4"/>
        <v>7.5389210526315784</v>
      </c>
    </row>
    <row r="121" spans="8:9" x14ac:dyDescent="0.25">
      <c r="H121">
        <v>770</v>
      </c>
      <c r="I121">
        <f t="shared" si="4"/>
        <v>7.4410129870129866</v>
      </c>
    </row>
    <row r="122" spans="8:9" x14ac:dyDescent="0.25">
      <c r="H122">
        <v>780</v>
      </c>
      <c r="I122">
        <f t="shared" si="4"/>
        <v>7.3456153846153844</v>
      </c>
    </row>
    <row r="123" spans="8:9" x14ac:dyDescent="0.25">
      <c r="H123">
        <v>790</v>
      </c>
      <c r="I123">
        <f t="shared" si="4"/>
        <v>7.2526329113924053</v>
      </c>
    </row>
    <row r="124" spans="8:9" x14ac:dyDescent="0.25">
      <c r="H124">
        <v>800</v>
      </c>
      <c r="I124">
        <f t="shared" si="4"/>
        <v>7.161975</v>
      </c>
    </row>
    <row r="125" spans="8:9" x14ac:dyDescent="0.25">
      <c r="H125">
        <v>810</v>
      </c>
      <c r="I125">
        <f t="shared" si="4"/>
        <v>7.0735555555555552</v>
      </c>
    </row>
    <row r="126" spans="8:9" x14ac:dyDescent="0.25">
      <c r="H126">
        <v>820</v>
      </c>
      <c r="I126">
        <f t="shared" si="4"/>
        <v>6.9872926829268289</v>
      </c>
    </row>
    <row r="127" spans="8:9" x14ac:dyDescent="0.25">
      <c r="H127">
        <v>830</v>
      </c>
      <c r="I127">
        <f t="shared" si="4"/>
        <v>6.90310843373494</v>
      </c>
    </row>
    <row r="128" spans="8:9" x14ac:dyDescent="0.25">
      <c r="H128">
        <v>840</v>
      </c>
      <c r="I128">
        <f t="shared" si="4"/>
        <v>6.8209285714285715</v>
      </c>
    </row>
    <row r="129" spans="8:9" x14ac:dyDescent="0.25">
      <c r="H129">
        <v>850</v>
      </c>
      <c r="I129">
        <f t="shared" si="4"/>
        <v>6.7406823529411763</v>
      </c>
    </row>
    <row r="130" spans="8:9" x14ac:dyDescent="0.25">
      <c r="H130">
        <v>860</v>
      </c>
      <c r="I130">
        <f t="shared" si="4"/>
        <v>6.6623023255813951</v>
      </c>
    </row>
    <row r="131" spans="8:9" x14ac:dyDescent="0.25">
      <c r="H131">
        <v>870</v>
      </c>
      <c r="I131">
        <f t="shared" si="4"/>
        <v>6.5857241379310345</v>
      </c>
    </row>
    <row r="132" spans="8:9" x14ac:dyDescent="0.25">
      <c r="H132">
        <v>880</v>
      </c>
      <c r="I132">
        <f t="shared" si="4"/>
        <v>6.5108863636363639</v>
      </c>
    </row>
    <row r="133" spans="8:9" x14ac:dyDescent="0.25">
      <c r="H133">
        <v>890</v>
      </c>
      <c r="I133">
        <f t="shared" si="4"/>
        <v>6.4377303370786514</v>
      </c>
    </row>
    <row r="134" spans="8:9" x14ac:dyDescent="0.25">
      <c r="H134">
        <v>900</v>
      </c>
      <c r="I134">
        <f t="shared" si="4"/>
        <v>6.3662000000000001</v>
      </c>
    </row>
    <row r="135" spans="8:9" x14ac:dyDescent="0.25">
      <c r="H135">
        <v>910</v>
      </c>
      <c r="I135">
        <f t="shared" si="4"/>
        <v>6.2962417582417585</v>
      </c>
    </row>
    <row r="136" spans="8:9" x14ac:dyDescent="0.25">
      <c r="H136">
        <v>920</v>
      </c>
      <c r="I136">
        <f t="shared" si="4"/>
        <v>6.2278043478260869</v>
      </c>
    </row>
    <row r="137" spans="8:9" x14ac:dyDescent="0.25">
      <c r="H137">
        <v>930</v>
      </c>
      <c r="I137">
        <f t="shared" si="4"/>
        <v>6.1608387096774191</v>
      </c>
    </row>
    <row r="138" spans="8:9" x14ac:dyDescent="0.25">
      <c r="H138">
        <v>940</v>
      </c>
      <c r="I138">
        <f t="shared" si="4"/>
        <v>6.0952978723404252</v>
      </c>
    </row>
    <row r="139" spans="8:9" x14ac:dyDescent="0.25">
      <c r="H139">
        <v>950</v>
      </c>
      <c r="I139">
        <f t="shared" si="4"/>
        <v>6.0311368421052629</v>
      </c>
    </row>
    <row r="140" spans="8:9" x14ac:dyDescent="0.25">
      <c r="H140">
        <v>960</v>
      </c>
      <c r="I140">
        <f t="shared" si="4"/>
        <v>5.9683124999999997</v>
      </c>
    </row>
    <row r="141" spans="8:9" x14ac:dyDescent="0.25">
      <c r="H141">
        <v>970</v>
      </c>
      <c r="I141">
        <f t="shared" si="4"/>
        <v>5.9067835051546389</v>
      </c>
    </row>
    <row r="142" spans="8:9" x14ac:dyDescent="0.25">
      <c r="H142">
        <v>980</v>
      </c>
      <c r="I142">
        <f t="shared" si="4"/>
        <v>5.8465102040816328</v>
      </c>
    </row>
    <row r="143" spans="8:9" x14ac:dyDescent="0.25">
      <c r="H143">
        <v>990</v>
      </c>
      <c r="I143">
        <f t="shared" si="4"/>
        <v>5.787454545454545</v>
      </c>
    </row>
    <row r="144" spans="8:9" x14ac:dyDescent="0.25">
      <c r="H144">
        <v>1000</v>
      </c>
      <c r="I144">
        <f t="shared" si="4"/>
        <v>5.7295800000000003</v>
      </c>
    </row>
    <row r="145" spans="8:9" x14ac:dyDescent="0.25">
      <c r="H145">
        <v>1010</v>
      </c>
      <c r="I145">
        <f t="shared" si="4"/>
        <v>5.6728514851485148</v>
      </c>
    </row>
    <row r="146" spans="8:9" x14ac:dyDescent="0.25">
      <c r="H146">
        <v>1020</v>
      </c>
      <c r="I146">
        <f t="shared" si="4"/>
        <v>5.6172352941176467</v>
      </c>
    </row>
    <row r="147" spans="8:9" x14ac:dyDescent="0.25">
      <c r="H147">
        <v>1030</v>
      </c>
      <c r="I147">
        <f t="shared" si="4"/>
        <v>5.5626990291262137</v>
      </c>
    </row>
    <row r="148" spans="8:9" x14ac:dyDescent="0.25">
      <c r="H148">
        <v>1040</v>
      </c>
      <c r="I148">
        <f t="shared" si="4"/>
        <v>5.5092115384615381</v>
      </c>
    </row>
    <row r="149" spans="8:9" x14ac:dyDescent="0.25">
      <c r="H149">
        <v>1050</v>
      </c>
      <c r="I149">
        <f t="shared" si="4"/>
        <v>5.4567428571428573</v>
      </c>
    </row>
    <row r="150" spans="8:9" x14ac:dyDescent="0.25">
      <c r="H150">
        <v>1060</v>
      </c>
      <c r="I150">
        <f t="shared" si="4"/>
        <v>5.4052641509433963</v>
      </c>
    </row>
    <row r="151" spans="8:9" x14ac:dyDescent="0.25">
      <c r="H151">
        <v>1070</v>
      </c>
      <c r="I151">
        <f t="shared" si="4"/>
        <v>5.354747663551402</v>
      </c>
    </row>
    <row r="152" spans="8:9" x14ac:dyDescent="0.25">
      <c r="H152">
        <v>1080</v>
      </c>
      <c r="I152">
        <f t="shared" si="4"/>
        <v>5.3051666666666666</v>
      </c>
    </row>
    <row r="153" spans="8:9" x14ac:dyDescent="0.25">
      <c r="H153">
        <v>1090</v>
      </c>
      <c r="I153">
        <f t="shared" si="4"/>
        <v>5.2564954128440364</v>
      </c>
    </row>
    <row r="154" spans="8:9" x14ac:dyDescent="0.25">
      <c r="H154">
        <v>1100</v>
      </c>
      <c r="I154">
        <f t="shared" si="4"/>
        <v>5.2087090909090907</v>
      </c>
    </row>
    <row r="155" spans="8:9" x14ac:dyDescent="0.25">
      <c r="H155">
        <v>1110</v>
      </c>
      <c r="I155">
        <f t="shared" si="4"/>
        <v>5.1617837837837834</v>
      </c>
    </row>
    <row r="156" spans="8:9" x14ac:dyDescent="0.25">
      <c r="H156">
        <v>1120</v>
      </c>
      <c r="I156">
        <f t="shared" si="4"/>
        <v>5.1156964285714288</v>
      </c>
    </row>
    <row r="157" spans="8:9" x14ac:dyDescent="0.25">
      <c r="H157">
        <v>1130</v>
      </c>
      <c r="I157">
        <f t="shared" si="4"/>
        <v>5.0704247787610619</v>
      </c>
    </row>
    <row r="158" spans="8:9" x14ac:dyDescent="0.25">
      <c r="H158">
        <v>1140</v>
      </c>
      <c r="I158">
        <f t="shared" si="4"/>
        <v>5.0259473684210523</v>
      </c>
    </row>
    <row r="159" spans="8:9" x14ac:dyDescent="0.25">
      <c r="H159">
        <v>1150</v>
      </c>
      <c r="I159">
        <f t="shared" si="4"/>
        <v>4.9822434782608696</v>
      </c>
    </row>
    <row r="160" spans="8:9" x14ac:dyDescent="0.25">
      <c r="H160">
        <v>1160</v>
      </c>
      <c r="I160">
        <f t="shared" si="4"/>
        <v>4.9392931034482759</v>
      </c>
    </row>
    <row r="161" spans="8:9" x14ac:dyDescent="0.25">
      <c r="H161">
        <v>1170</v>
      </c>
      <c r="I161">
        <f t="shared" si="4"/>
        <v>4.8970769230769227</v>
      </c>
    </row>
    <row r="162" spans="8:9" x14ac:dyDescent="0.25">
      <c r="H162">
        <v>1180</v>
      </c>
      <c r="I162">
        <f t="shared" si="4"/>
        <v>4.8555762711864405</v>
      </c>
    </row>
    <row r="163" spans="8:9" x14ac:dyDescent="0.25">
      <c r="H163">
        <v>1190</v>
      </c>
      <c r="I163">
        <f t="shared" si="4"/>
        <v>4.8147731092436974</v>
      </c>
    </row>
    <row r="164" spans="8:9" x14ac:dyDescent="0.25">
      <c r="H164">
        <v>1200</v>
      </c>
      <c r="I164">
        <f t="shared" si="4"/>
        <v>4.7746500000000003</v>
      </c>
    </row>
    <row r="165" spans="8:9" x14ac:dyDescent="0.25">
      <c r="H165">
        <v>1210</v>
      </c>
      <c r="I165">
        <f t="shared" si="4"/>
        <v>4.7351900826446283</v>
      </c>
    </row>
    <row r="166" spans="8:9" x14ac:dyDescent="0.25">
      <c r="H166">
        <v>1220</v>
      </c>
      <c r="I166">
        <f t="shared" si="4"/>
        <v>4.6963770491803274</v>
      </c>
    </row>
    <row r="167" spans="8:9" x14ac:dyDescent="0.25">
      <c r="H167">
        <v>1230</v>
      </c>
      <c r="I167">
        <f t="shared" si="4"/>
        <v>4.6581951219512199</v>
      </c>
    </row>
    <row r="168" spans="8:9" x14ac:dyDescent="0.25">
      <c r="H168">
        <v>1240</v>
      </c>
      <c r="I168">
        <f t="shared" si="4"/>
        <v>4.6206290322580648</v>
      </c>
    </row>
    <row r="169" spans="8:9" x14ac:dyDescent="0.25">
      <c r="H169">
        <v>1250</v>
      </c>
      <c r="I169">
        <f t="shared" si="4"/>
        <v>4.5836639999999997</v>
      </c>
    </row>
    <row r="170" spans="8:9" x14ac:dyDescent="0.25">
      <c r="H170">
        <v>1260</v>
      </c>
      <c r="I170">
        <f t="shared" si="4"/>
        <v>4.5472857142857146</v>
      </c>
    </row>
    <row r="171" spans="8:9" x14ac:dyDescent="0.25">
      <c r="H171">
        <v>1270</v>
      </c>
      <c r="I171">
        <f t="shared" si="4"/>
        <v>4.5114803149606297</v>
      </c>
    </row>
    <row r="172" spans="8:9" x14ac:dyDescent="0.25">
      <c r="H172">
        <v>1280</v>
      </c>
      <c r="I172">
        <f t="shared" si="4"/>
        <v>4.4762343749999998</v>
      </c>
    </row>
    <row r="173" spans="8:9" x14ac:dyDescent="0.25">
      <c r="H173">
        <v>1290</v>
      </c>
      <c r="I173">
        <f t="shared" si="4"/>
        <v>4.4415348837209301</v>
      </c>
    </row>
    <row r="174" spans="8:9" x14ac:dyDescent="0.25">
      <c r="H174">
        <v>1300</v>
      </c>
      <c r="I174">
        <f t="shared" si="4"/>
        <v>4.4073692307692305</v>
      </c>
    </row>
    <row r="175" spans="8:9" x14ac:dyDescent="0.25">
      <c r="H175">
        <v>1310</v>
      </c>
      <c r="I175">
        <f t="shared" si="4"/>
        <v>4.3737251908396946</v>
      </c>
    </row>
    <row r="176" spans="8:9" x14ac:dyDescent="0.25">
      <c r="H176">
        <v>1320</v>
      </c>
      <c r="I176">
        <f t="shared" si="4"/>
        <v>4.3405909090909089</v>
      </c>
    </row>
    <row r="177" spans="8:9" x14ac:dyDescent="0.25">
      <c r="H177">
        <v>1330</v>
      </c>
      <c r="I177">
        <f t="shared" si="4"/>
        <v>4.3079548872180453</v>
      </c>
    </row>
    <row r="178" spans="8:9" x14ac:dyDescent="0.25">
      <c r="H178">
        <v>1340</v>
      </c>
      <c r="I178">
        <f t="shared" si="4"/>
        <v>4.2758059701492535</v>
      </c>
    </row>
    <row r="179" spans="8:9" x14ac:dyDescent="0.25">
      <c r="H179">
        <v>1350</v>
      </c>
      <c r="I179">
        <f t="shared" si="4"/>
        <v>4.2441333333333331</v>
      </c>
    </row>
    <row r="180" spans="8:9" x14ac:dyDescent="0.25">
      <c r="H180">
        <v>1360</v>
      </c>
      <c r="I180">
        <f t="shared" si="4"/>
        <v>4.2129264705882354</v>
      </c>
    </row>
    <row r="181" spans="8:9" x14ac:dyDescent="0.25">
      <c r="H181">
        <v>1370</v>
      </c>
      <c r="I181">
        <f t="shared" si="4"/>
        <v>4.1821751824817515</v>
      </c>
    </row>
    <row r="182" spans="8:9" x14ac:dyDescent="0.25">
      <c r="H182">
        <v>1380</v>
      </c>
      <c r="I182">
        <f t="shared" si="4"/>
        <v>4.1518695652173916</v>
      </c>
    </row>
    <row r="183" spans="8:9" x14ac:dyDescent="0.25">
      <c r="H183">
        <v>1390</v>
      </c>
      <c r="I183">
        <f t="shared" ref="I183:I246" si="5">5729.58/H183</f>
        <v>4.1219999999999999</v>
      </c>
    </row>
    <row r="184" spans="8:9" x14ac:dyDescent="0.25">
      <c r="H184">
        <v>1400</v>
      </c>
      <c r="I184">
        <f t="shared" si="5"/>
        <v>4.0925571428571432</v>
      </c>
    </row>
    <row r="185" spans="8:9" x14ac:dyDescent="0.25">
      <c r="H185">
        <v>1410</v>
      </c>
      <c r="I185">
        <f t="shared" si="5"/>
        <v>4.0635319148936171</v>
      </c>
    </row>
    <row r="186" spans="8:9" x14ac:dyDescent="0.25">
      <c r="H186">
        <v>1420</v>
      </c>
      <c r="I186">
        <f t="shared" si="5"/>
        <v>4.0349154929577464</v>
      </c>
    </row>
    <row r="187" spans="8:9" x14ac:dyDescent="0.25">
      <c r="H187">
        <v>1430</v>
      </c>
      <c r="I187">
        <f t="shared" si="5"/>
        <v>4.0066993006993004</v>
      </c>
    </row>
    <row r="188" spans="8:9" x14ac:dyDescent="0.25">
      <c r="H188">
        <v>1440</v>
      </c>
      <c r="I188">
        <f t="shared" si="5"/>
        <v>3.9788749999999999</v>
      </c>
    </row>
    <row r="189" spans="8:9" x14ac:dyDescent="0.25">
      <c r="H189">
        <v>1450</v>
      </c>
      <c r="I189">
        <f t="shared" si="5"/>
        <v>3.9514344827586205</v>
      </c>
    </row>
    <row r="190" spans="8:9" x14ac:dyDescent="0.25">
      <c r="H190">
        <v>1460</v>
      </c>
      <c r="I190">
        <f t="shared" si="5"/>
        <v>3.9243698630136987</v>
      </c>
    </row>
    <row r="191" spans="8:9" x14ac:dyDescent="0.25">
      <c r="H191">
        <v>1470</v>
      </c>
      <c r="I191">
        <f t="shared" si="5"/>
        <v>3.8976734693877551</v>
      </c>
    </row>
    <row r="192" spans="8:9" x14ac:dyDescent="0.25">
      <c r="H192">
        <v>1480</v>
      </c>
      <c r="I192">
        <f t="shared" si="5"/>
        <v>3.8713378378378378</v>
      </c>
    </row>
    <row r="193" spans="8:9" x14ac:dyDescent="0.25">
      <c r="H193">
        <v>1490</v>
      </c>
      <c r="I193">
        <f t="shared" si="5"/>
        <v>3.8453557046979867</v>
      </c>
    </row>
    <row r="194" spans="8:9" x14ac:dyDescent="0.25">
      <c r="H194">
        <v>1500</v>
      </c>
      <c r="I194">
        <f t="shared" si="5"/>
        <v>3.8197199999999998</v>
      </c>
    </row>
    <row r="195" spans="8:9" x14ac:dyDescent="0.25">
      <c r="H195">
        <v>1510</v>
      </c>
      <c r="I195">
        <f t="shared" si="5"/>
        <v>3.7944238410596025</v>
      </c>
    </row>
    <row r="196" spans="8:9" x14ac:dyDescent="0.25">
      <c r="H196">
        <v>1520</v>
      </c>
      <c r="I196">
        <f t="shared" si="5"/>
        <v>3.7694605263157892</v>
      </c>
    </row>
    <row r="197" spans="8:9" x14ac:dyDescent="0.25">
      <c r="H197">
        <v>1530</v>
      </c>
      <c r="I197">
        <f t="shared" si="5"/>
        <v>3.7448235294117644</v>
      </c>
    </row>
    <row r="198" spans="8:9" x14ac:dyDescent="0.25">
      <c r="H198">
        <v>1540</v>
      </c>
      <c r="I198">
        <f t="shared" si="5"/>
        <v>3.7205064935064933</v>
      </c>
    </row>
    <row r="199" spans="8:9" x14ac:dyDescent="0.25">
      <c r="H199">
        <v>1550</v>
      </c>
      <c r="I199">
        <f t="shared" si="5"/>
        <v>3.6965032258064516</v>
      </c>
    </row>
    <row r="200" spans="8:9" x14ac:dyDescent="0.25">
      <c r="H200">
        <v>1560</v>
      </c>
      <c r="I200">
        <f t="shared" si="5"/>
        <v>3.6728076923076922</v>
      </c>
    </row>
    <row r="201" spans="8:9" x14ac:dyDescent="0.25">
      <c r="H201">
        <v>1570</v>
      </c>
      <c r="I201">
        <f t="shared" si="5"/>
        <v>3.6494140127388532</v>
      </c>
    </row>
    <row r="202" spans="8:9" x14ac:dyDescent="0.25">
      <c r="H202">
        <v>1580</v>
      </c>
      <c r="I202">
        <f t="shared" si="5"/>
        <v>3.6263164556962026</v>
      </c>
    </row>
    <row r="203" spans="8:9" x14ac:dyDescent="0.25">
      <c r="H203">
        <v>1590</v>
      </c>
      <c r="I203">
        <f t="shared" si="5"/>
        <v>3.6035094339622642</v>
      </c>
    </row>
    <row r="204" spans="8:9" x14ac:dyDescent="0.25">
      <c r="H204">
        <v>1600</v>
      </c>
      <c r="I204">
        <f t="shared" si="5"/>
        <v>3.5809875</v>
      </c>
    </row>
    <row r="205" spans="8:9" x14ac:dyDescent="0.25">
      <c r="H205">
        <v>1610</v>
      </c>
      <c r="I205">
        <f t="shared" si="5"/>
        <v>3.5587453416149066</v>
      </c>
    </row>
    <row r="206" spans="8:9" x14ac:dyDescent="0.25">
      <c r="H206">
        <v>1620</v>
      </c>
      <c r="I206">
        <f t="shared" si="5"/>
        <v>3.5367777777777776</v>
      </c>
    </row>
    <row r="207" spans="8:9" x14ac:dyDescent="0.25">
      <c r="H207">
        <v>1630</v>
      </c>
      <c r="I207">
        <f t="shared" si="5"/>
        <v>3.5150797546012269</v>
      </c>
    </row>
    <row r="208" spans="8:9" x14ac:dyDescent="0.25">
      <c r="H208">
        <v>1640</v>
      </c>
      <c r="I208">
        <f t="shared" si="5"/>
        <v>3.4936463414634145</v>
      </c>
    </row>
    <row r="209" spans="8:9" x14ac:dyDescent="0.25">
      <c r="H209">
        <v>1650</v>
      </c>
      <c r="I209">
        <f t="shared" si="5"/>
        <v>3.4724727272727272</v>
      </c>
    </row>
    <row r="210" spans="8:9" x14ac:dyDescent="0.25">
      <c r="H210">
        <v>1660</v>
      </c>
      <c r="I210">
        <f t="shared" si="5"/>
        <v>3.45155421686747</v>
      </c>
    </row>
    <row r="211" spans="8:9" x14ac:dyDescent="0.25">
      <c r="H211">
        <v>1670</v>
      </c>
      <c r="I211">
        <f t="shared" si="5"/>
        <v>3.4308862275449101</v>
      </c>
    </row>
    <row r="212" spans="8:9" x14ac:dyDescent="0.25">
      <c r="H212">
        <v>1680</v>
      </c>
      <c r="I212">
        <f t="shared" si="5"/>
        <v>3.4104642857142857</v>
      </c>
    </row>
    <row r="213" spans="8:9" x14ac:dyDescent="0.25">
      <c r="H213">
        <v>1690</v>
      </c>
      <c r="I213">
        <f t="shared" si="5"/>
        <v>3.3902840236686389</v>
      </c>
    </row>
    <row r="214" spans="8:9" x14ac:dyDescent="0.25">
      <c r="H214">
        <v>1700</v>
      </c>
      <c r="I214">
        <f t="shared" si="5"/>
        <v>3.3703411764705882</v>
      </c>
    </row>
    <row r="215" spans="8:9" x14ac:dyDescent="0.25">
      <c r="H215">
        <v>1710</v>
      </c>
      <c r="I215">
        <f t="shared" si="5"/>
        <v>3.3506315789473682</v>
      </c>
    </row>
    <row r="216" spans="8:9" x14ac:dyDescent="0.25">
      <c r="H216">
        <v>1720</v>
      </c>
      <c r="I216">
        <f t="shared" si="5"/>
        <v>3.3311511627906976</v>
      </c>
    </row>
    <row r="217" spans="8:9" x14ac:dyDescent="0.25">
      <c r="H217">
        <v>1730</v>
      </c>
      <c r="I217">
        <f t="shared" si="5"/>
        <v>3.3118959537572255</v>
      </c>
    </row>
    <row r="218" spans="8:9" x14ac:dyDescent="0.25">
      <c r="H218">
        <v>1740</v>
      </c>
      <c r="I218">
        <f t="shared" si="5"/>
        <v>3.2928620689655173</v>
      </c>
    </row>
    <row r="219" spans="8:9" x14ac:dyDescent="0.25">
      <c r="H219">
        <v>1750</v>
      </c>
      <c r="I219">
        <f t="shared" si="5"/>
        <v>3.2740457142857142</v>
      </c>
    </row>
    <row r="220" spans="8:9" x14ac:dyDescent="0.25">
      <c r="H220">
        <v>1760</v>
      </c>
      <c r="I220">
        <f t="shared" si="5"/>
        <v>3.2554431818181819</v>
      </c>
    </row>
    <row r="221" spans="8:9" x14ac:dyDescent="0.25">
      <c r="H221">
        <v>1770</v>
      </c>
      <c r="I221">
        <f t="shared" si="5"/>
        <v>3.2370508474576272</v>
      </c>
    </row>
    <row r="222" spans="8:9" x14ac:dyDescent="0.25">
      <c r="H222">
        <v>1780</v>
      </c>
      <c r="I222">
        <f t="shared" si="5"/>
        <v>3.2188651685393257</v>
      </c>
    </row>
    <row r="223" spans="8:9" x14ac:dyDescent="0.25">
      <c r="H223">
        <v>1790</v>
      </c>
      <c r="I223">
        <f t="shared" si="5"/>
        <v>3.2008826815642459</v>
      </c>
    </row>
    <row r="224" spans="8:9" x14ac:dyDescent="0.25">
      <c r="H224">
        <v>1800</v>
      </c>
      <c r="I224">
        <f t="shared" si="5"/>
        <v>3.1831</v>
      </c>
    </row>
    <row r="225" spans="8:9" x14ac:dyDescent="0.25">
      <c r="H225">
        <v>1810</v>
      </c>
      <c r="I225">
        <f t="shared" si="5"/>
        <v>3.1655138121546962</v>
      </c>
    </row>
    <row r="226" spans="8:9" x14ac:dyDescent="0.25">
      <c r="H226">
        <v>1820</v>
      </c>
      <c r="I226">
        <f t="shared" si="5"/>
        <v>3.1481208791208792</v>
      </c>
    </row>
    <row r="227" spans="8:9" x14ac:dyDescent="0.25">
      <c r="H227">
        <v>1830</v>
      </c>
      <c r="I227">
        <f t="shared" si="5"/>
        <v>3.1309180327868851</v>
      </c>
    </row>
    <row r="228" spans="8:9" x14ac:dyDescent="0.25">
      <c r="H228">
        <v>1840</v>
      </c>
      <c r="I228">
        <f t="shared" si="5"/>
        <v>3.1139021739130435</v>
      </c>
    </row>
    <row r="229" spans="8:9" x14ac:dyDescent="0.25">
      <c r="H229">
        <v>1850</v>
      </c>
      <c r="I229">
        <f t="shared" si="5"/>
        <v>3.0970702702702702</v>
      </c>
    </row>
    <row r="230" spans="8:9" x14ac:dyDescent="0.25">
      <c r="H230">
        <v>1860</v>
      </c>
      <c r="I230">
        <f t="shared" si="5"/>
        <v>3.0804193548387095</v>
      </c>
    </row>
    <row r="231" spans="8:9" x14ac:dyDescent="0.25">
      <c r="H231">
        <v>1870</v>
      </c>
      <c r="I231">
        <f t="shared" si="5"/>
        <v>3.0639465240641712</v>
      </c>
    </row>
    <row r="232" spans="8:9" x14ac:dyDescent="0.25">
      <c r="H232">
        <v>1880</v>
      </c>
      <c r="I232">
        <f t="shared" si="5"/>
        <v>3.0476489361702126</v>
      </c>
    </row>
    <row r="233" spans="8:9" x14ac:dyDescent="0.25">
      <c r="H233">
        <v>1890</v>
      </c>
      <c r="I233">
        <f t="shared" si="5"/>
        <v>3.0315238095238093</v>
      </c>
    </row>
    <row r="234" spans="8:9" x14ac:dyDescent="0.25">
      <c r="H234" s="2">
        <v>1900</v>
      </c>
      <c r="I234" s="2">
        <f t="shared" si="5"/>
        <v>3.0155684210526315</v>
      </c>
    </row>
    <row r="235" spans="8:9" x14ac:dyDescent="0.25">
      <c r="H235">
        <v>1910</v>
      </c>
      <c r="I235">
        <f t="shared" si="5"/>
        <v>2.999780104712042</v>
      </c>
    </row>
    <row r="236" spans="8:9" x14ac:dyDescent="0.25">
      <c r="H236">
        <v>1920</v>
      </c>
      <c r="I236">
        <f t="shared" si="5"/>
        <v>2.9841562499999998</v>
      </c>
    </row>
    <row r="237" spans="8:9" x14ac:dyDescent="0.25">
      <c r="H237">
        <v>1930</v>
      </c>
      <c r="I237">
        <f t="shared" si="5"/>
        <v>2.9686943005181345</v>
      </c>
    </row>
    <row r="238" spans="8:9" x14ac:dyDescent="0.25">
      <c r="H238">
        <v>1940</v>
      </c>
      <c r="I238">
        <f t="shared" si="5"/>
        <v>2.9533917525773195</v>
      </c>
    </row>
    <row r="239" spans="8:9" x14ac:dyDescent="0.25">
      <c r="H239">
        <v>1950</v>
      </c>
      <c r="I239">
        <f t="shared" si="5"/>
        <v>2.938246153846154</v>
      </c>
    </row>
    <row r="240" spans="8:9" x14ac:dyDescent="0.25">
      <c r="H240">
        <v>1960</v>
      </c>
      <c r="I240">
        <f t="shared" si="5"/>
        <v>2.9232551020408164</v>
      </c>
    </row>
    <row r="241" spans="8:9" x14ac:dyDescent="0.25">
      <c r="H241">
        <v>1970</v>
      </c>
      <c r="I241">
        <f t="shared" si="5"/>
        <v>2.9084162436548224</v>
      </c>
    </row>
    <row r="242" spans="8:9" x14ac:dyDescent="0.25">
      <c r="H242">
        <v>1980</v>
      </c>
      <c r="I242">
        <f t="shared" si="5"/>
        <v>2.8937272727272725</v>
      </c>
    </row>
    <row r="243" spans="8:9" x14ac:dyDescent="0.25">
      <c r="H243">
        <v>1990</v>
      </c>
      <c r="I243">
        <f t="shared" si="5"/>
        <v>2.8791859296482412</v>
      </c>
    </row>
    <row r="244" spans="8:9" x14ac:dyDescent="0.25">
      <c r="H244">
        <v>2000</v>
      </c>
      <c r="I244">
        <f t="shared" si="5"/>
        <v>2.8647900000000002</v>
      </c>
    </row>
    <row r="245" spans="8:9" x14ac:dyDescent="0.25">
      <c r="H245">
        <v>2010</v>
      </c>
      <c r="I245">
        <f t="shared" si="5"/>
        <v>2.8505373134328358</v>
      </c>
    </row>
    <row r="246" spans="8:9" x14ac:dyDescent="0.25">
      <c r="H246">
        <v>2020</v>
      </c>
      <c r="I246">
        <f t="shared" si="5"/>
        <v>2.8364257425742574</v>
      </c>
    </row>
    <row r="247" spans="8:9" x14ac:dyDescent="0.25">
      <c r="H247">
        <v>2030</v>
      </c>
      <c r="I247">
        <f t="shared" ref="I247:I270" si="6">5729.58/H247</f>
        <v>2.8224532019704434</v>
      </c>
    </row>
    <row r="248" spans="8:9" x14ac:dyDescent="0.25">
      <c r="H248">
        <v>2040</v>
      </c>
      <c r="I248">
        <f t="shared" si="6"/>
        <v>2.8086176470588233</v>
      </c>
    </row>
    <row r="249" spans="8:9" x14ac:dyDescent="0.25">
      <c r="H249">
        <v>2050</v>
      </c>
      <c r="I249">
        <f t="shared" si="6"/>
        <v>2.7949170731707316</v>
      </c>
    </row>
    <row r="250" spans="8:9" x14ac:dyDescent="0.25">
      <c r="H250">
        <v>2060</v>
      </c>
      <c r="I250">
        <f t="shared" si="6"/>
        <v>2.7813495145631069</v>
      </c>
    </row>
    <row r="251" spans="8:9" x14ac:dyDescent="0.25">
      <c r="H251">
        <v>2070</v>
      </c>
      <c r="I251">
        <f t="shared" si="6"/>
        <v>2.7679130434782606</v>
      </c>
    </row>
    <row r="252" spans="8:9" x14ac:dyDescent="0.25">
      <c r="H252">
        <v>2080</v>
      </c>
      <c r="I252">
        <f t="shared" si="6"/>
        <v>2.7546057692307691</v>
      </c>
    </row>
    <row r="253" spans="8:9" x14ac:dyDescent="0.25">
      <c r="H253">
        <v>2090</v>
      </c>
      <c r="I253">
        <f t="shared" si="6"/>
        <v>2.7414258373205742</v>
      </c>
    </row>
    <row r="254" spans="8:9" x14ac:dyDescent="0.25">
      <c r="H254">
        <v>2100</v>
      </c>
      <c r="I254">
        <f t="shared" si="6"/>
        <v>2.7283714285714287</v>
      </c>
    </row>
    <row r="255" spans="8:9" x14ac:dyDescent="0.25">
      <c r="H255">
        <v>2110</v>
      </c>
      <c r="I255">
        <f t="shared" si="6"/>
        <v>2.7154407582938389</v>
      </c>
    </row>
    <row r="256" spans="8:9" x14ac:dyDescent="0.25">
      <c r="H256">
        <v>2120</v>
      </c>
      <c r="I256">
        <f t="shared" si="6"/>
        <v>2.7026320754716981</v>
      </c>
    </row>
    <row r="257" spans="8:9" x14ac:dyDescent="0.25">
      <c r="H257">
        <v>2130</v>
      </c>
      <c r="I257">
        <f t="shared" si="6"/>
        <v>2.6899436619718311</v>
      </c>
    </row>
    <row r="258" spans="8:9" x14ac:dyDescent="0.25">
      <c r="H258">
        <v>2140</v>
      </c>
      <c r="I258">
        <f t="shared" si="6"/>
        <v>2.677373831775701</v>
      </c>
    </row>
    <row r="259" spans="8:9" x14ac:dyDescent="0.25">
      <c r="H259">
        <v>2150</v>
      </c>
      <c r="I259">
        <f t="shared" si="6"/>
        <v>2.664920930232558</v>
      </c>
    </row>
    <row r="260" spans="8:9" x14ac:dyDescent="0.25">
      <c r="H260">
        <v>2160</v>
      </c>
      <c r="I260">
        <f t="shared" si="6"/>
        <v>2.6525833333333333</v>
      </c>
    </row>
    <row r="261" spans="8:9" x14ac:dyDescent="0.25">
      <c r="H261">
        <v>2170</v>
      </c>
      <c r="I261">
        <f t="shared" si="6"/>
        <v>2.6403594470046081</v>
      </c>
    </row>
    <row r="262" spans="8:9" x14ac:dyDescent="0.25">
      <c r="H262">
        <v>2180</v>
      </c>
      <c r="I262">
        <f t="shared" si="6"/>
        <v>2.6282477064220182</v>
      </c>
    </row>
    <row r="263" spans="8:9" x14ac:dyDescent="0.25">
      <c r="H263">
        <v>2190</v>
      </c>
      <c r="I263">
        <f t="shared" si="6"/>
        <v>2.6162465753424655</v>
      </c>
    </row>
    <row r="264" spans="8:9" x14ac:dyDescent="0.25">
      <c r="H264">
        <v>2200</v>
      </c>
      <c r="I264">
        <f t="shared" si="6"/>
        <v>2.6043545454545454</v>
      </c>
    </row>
    <row r="265" spans="8:9" x14ac:dyDescent="0.25">
      <c r="H265">
        <v>2210</v>
      </c>
      <c r="I265">
        <f t="shared" si="6"/>
        <v>2.5925701357466062</v>
      </c>
    </row>
    <row r="266" spans="8:9" x14ac:dyDescent="0.25">
      <c r="H266">
        <v>2220</v>
      </c>
      <c r="I266">
        <f t="shared" si="6"/>
        <v>2.5808918918918917</v>
      </c>
    </row>
    <row r="267" spans="8:9" x14ac:dyDescent="0.25">
      <c r="H267">
        <v>2230</v>
      </c>
      <c r="I267">
        <f t="shared" si="6"/>
        <v>2.5693183856502242</v>
      </c>
    </row>
    <row r="268" spans="8:9" x14ac:dyDescent="0.25">
      <c r="H268">
        <v>2240</v>
      </c>
      <c r="I268">
        <f t="shared" si="6"/>
        <v>2.5578482142857144</v>
      </c>
    </row>
    <row r="269" spans="8:9" x14ac:dyDescent="0.25">
      <c r="H269">
        <v>2250</v>
      </c>
      <c r="I269">
        <f t="shared" si="6"/>
        <v>2.5464799999999999</v>
      </c>
    </row>
    <row r="270" spans="8:9" x14ac:dyDescent="0.25">
      <c r="H270">
        <v>2260</v>
      </c>
      <c r="I270">
        <f t="shared" si="6"/>
        <v>2.535212389380531</v>
      </c>
    </row>
  </sheetData>
  <mergeCells count="1">
    <mergeCell ref="Q34:S35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Bates, Andrew</dc:creator>
  <cp:lastModifiedBy>Bates, Andrew</cp:lastModifiedBy>
  <dcterms:created xsi:type="dcterms:W3CDTF">2021-09-08T17:49:25Z</dcterms:created>
  <dcterms:modified xsi:type="dcterms:W3CDTF">2021-09-08T21:07:44Z</dcterms:modified>
</cp:coreProperties>
</file>